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telli_Home\3_Chip_Programming\Circulation_Pump\开发文档\"/>
    </mc:Choice>
  </mc:AlternateContent>
  <xr:revisionPtr revIDLastSave="0" documentId="13_ncr:1_{D6FCB3ED-0CEE-40E4-9341-12D11871BB73}" xr6:coauthVersionLast="47" xr6:coauthVersionMax="47" xr10:uidLastSave="{00000000-0000-0000-0000-000000000000}"/>
  <bookViews>
    <workbookView xWindow="850" yWindow="-110" windowWidth="24860" windowHeight="14620" activeTab="1" xr2:uid="{07D0CAF1-0996-41D6-829A-A011ED79B54D}"/>
  </bookViews>
  <sheets>
    <sheet name="循环泵上热敏电阻" sheetId="2" r:id="rId1"/>
    <sheet name="卫生间端热敏电阻" sheetId="3" r:id="rId2"/>
  </sheets>
  <definedNames>
    <definedName name="_xlnm._FilterDatabase" localSheetId="0" hidden="1">循环泵上热敏电阻!$B$3:$C$12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G6" i="3"/>
  <c r="G7" i="3"/>
  <c r="G8" i="3"/>
  <c r="G9" i="3"/>
  <c r="G10" i="3"/>
  <c r="G11" i="3"/>
  <c r="G12" i="3"/>
  <c r="G5" i="3"/>
  <c r="F5" i="3"/>
  <c r="F6" i="3"/>
  <c r="F7" i="3"/>
  <c r="F8" i="3"/>
  <c r="F9" i="3"/>
  <c r="F10" i="3"/>
  <c r="F11" i="3"/>
  <c r="F12" i="3"/>
  <c r="F13" i="3"/>
  <c r="F4" i="3"/>
  <c r="K4" i="2"/>
  <c r="K5" i="2"/>
  <c r="K6" i="2"/>
  <c r="K7" i="2"/>
  <c r="K8" i="2"/>
  <c r="K9" i="2"/>
  <c r="K10" i="2"/>
  <c r="K11" i="2"/>
  <c r="K12" i="2"/>
  <c r="L5" i="2"/>
  <c r="L6" i="2"/>
  <c r="L7" i="2"/>
  <c r="L8" i="2"/>
  <c r="L9" i="2"/>
  <c r="L10" i="2"/>
  <c r="L11" i="2"/>
  <c r="L12" i="2"/>
  <c r="L4" i="2"/>
  <c r="J6" i="2"/>
  <c r="J7" i="2"/>
  <c r="J8" i="2"/>
  <c r="J9" i="2"/>
  <c r="J10" i="2"/>
  <c r="J11" i="2"/>
  <c r="J5" i="2"/>
  <c r="I5" i="2"/>
  <c r="I6" i="2"/>
  <c r="I7" i="2"/>
  <c r="I8" i="2"/>
  <c r="I9" i="2"/>
  <c r="I10" i="2"/>
  <c r="I11" i="2"/>
  <c r="I12" i="2"/>
  <c r="I4" i="2"/>
  <c r="M8" i="2" l="1"/>
  <c r="N8" i="2" s="1"/>
  <c r="M10" i="2"/>
  <c r="M9" i="2"/>
  <c r="M11" i="2"/>
  <c r="M5" i="2"/>
  <c r="M7" i="2"/>
  <c r="M6" i="2"/>
  <c r="M12" i="2"/>
  <c r="M4" i="2"/>
  <c r="I5" i="3" l="1"/>
  <c r="I13" i="3"/>
  <c r="I6" i="3"/>
  <c r="I11" i="3"/>
  <c r="I12" i="3"/>
  <c r="I7" i="3"/>
  <c r="I8" i="3"/>
  <c r="J8" i="3" s="1"/>
  <c r="I4" i="3"/>
  <c r="I9" i="3"/>
  <c r="I10" i="3"/>
  <c r="O8" i="2"/>
  <c r="N6" i="2"/>
  <c r="O6" i="2"/>
  <c r="O11" i="2"/>
  <c r="N11" i="2"/>
  <c r="N7" i="2"/>
  <c r="O7" i="2"/>
  <c r="O9" i="2"/>
  <c r="N9" i="2"/>
  <c r="N12" i="2"/>
  <c r="O12" i="2"/>
  <c r="N10" i="2"/>
  <c r="O10" i="2"/>
  <c r="O4" i="2"/>
  <c r="N4" i="2"/>
  <c r="N5" i="2"/>
  <c r="O5" i="2"/>
  <c r="J9" i="3" l="1"/>
  <c r="L9" i="3" s="1"/>
  <c r="J6" i="3"/>
  <c r="L6" i="3" s="1"/>
  <c r="L8" i="3"/>
  <c r="K8" i="3"/>
  <c r="J11" i="3"/>
  <c r="J4" i="3"/>
  <c r="J12" i="3"/>
  <c r="J13" i="3"/>
  <c r="J10" i="3"/>
  <c r="J7" i="3"/>
  <c r="J5" i="3"/>
  <c r="K6" i="3" l="1"/>
  <c r="K9" i="3"/>
  <c r="L5" i="3"/>
  <c r="K5" i="3"/>
  <c r="K12" i="3"/>
  <c r="L12" i="3"/>
  <c r="K13" i="3"/>
  <c r="L13" i="3"/>
  <c r="L7" i="3"/>
  <c r="K7" i="3"/>
  <c r="K11" i="3"/>
  <c r="L11" i="3"/>
  <c r="K10" i="3"/>
  <c r="L10" i="3"/>
  <c r="L4" i="3"/>
  <c r="K4" i="3"/>
</calcChain>
</file>

<file path=xl/sharedStrings.xml><?xml version="1.0" encoding="utf-8"?>
<sst xmlns="http://schemas.openxmlformats.org/spreadsheetml/2006/main" count="32" uniqueCount="18">
  <si>
    <t>温度</t>
    <phoneticPr fontId="1" type="noConversion"/>
  </si>
  <si>
    <t>ADC电压</t>
    <phoneticPr fontId="1" type="noConversion"/>
  </si>
  <si>
    <t>采样电阻</t>
    <phoneticPr fontId="1" type="noConversion"/>
  </si>
  <si>
    <t>y=kx+b</t>
    <phoneticPr fontId="1" type="noConversion"/>
  </si>
  <si>
    <t>k</t>
    <phoneticPr fontId="1" type="noConversion"/>
  </si>
  <si>
    <t>b</t>
    <phoneticPr fontId="1" type="noConversion"/>
  </si>
  <si>
    <t>x=(y-b)/k</t>
    <phoneticPr fontId="1" type="noConversion"/>
  </si>
  <si>
    <t>温度计算值</t>
    <phoneticPr fontId="1" type="noConversion"/>
  </si>
  <si>
    <t>误差</t>
    <phoneticPr fontId="1" type="noConversion"/>
  </si>
  <si>
    <t>标准阻值</t>
    <phoneticPr fontId="1" type="noConversion"/>
  </si>
  <si>
    <t>实测阻值</t>
    <phoneticPr fontId="1" type="noConversion"/>
  </si>
  <si>
    <t>电压线性值</t>
    <phoneticPr fontId="1" type="noConversion"/>
  </si>
  <si>
    <t>误差比例</t>
    <phoneticPr fontId="1" type="noConversion"/>
  </si>
  <si>
    <t>电源电压</t>
    <phoneticPr fontId="1" type="noConversion"/>
  </si>
  <si>
    <t>分压电阻</t>
    <phoneticPr fontId="1" type="noConversion"/>
  </si>
  <si>
    <t>线性值0 处</t>
    <phoneticPr fontId="1" type="noConversion"/>
  </si>
  <si>
    <t>线性值80处</t>
    <phoneticPr fontId="1" type="noConversion"/>
  </si>
  <si>
    <t>尝试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</si>
</sst>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10" fontId="0" fillId="0" borderId="0" xfId="1" applyNumberFormat="1" applyFont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right" wrapText="1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right" wrapText="1"/>
    </xf>
    <xf numFmtId="0" fontId="2" fillId="2" borderId="1" xfId="0" applyFont="1" applyFill="1" applyBorder="1">
      <alignment vertical="center"/>
    </xf>
    <xf numFmtId="10" fontId="0" fillId="2" borderId="1" xfId="1" applyNumberFormat="1" applyFont="1" applyFill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9.2014435695538063E-2"/>
          <c:w val="0.89019685039370078"/>
          <c:h val="0.800586176727908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循环泵上热敏电阻!$C$3</c:f>
              <c:strCache>
                <c:ptCount val="1"/>
                <c:pt idx="0">
                  <c:v>实测阻值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循环泵上热敏电阻!$B$4:$B$12</c:f>
              <c:numCache>
                <c:formatCode>General</c:formatCode>
                <c:ptCount val="9"/>
                <c:pt idx="0">
                  <c:v>11.5</c:v>
                </c:pt>
                <c:pt idx="1">
                  <c:v>17.100000000000001</c:v>
                </c:pt>
                <c:pt idx="2">
                  <c:v>21.1</c:v>
                </c:pt>
                <c:pt idx="3">
                  <c:v>34.5</c:v>
                </c:pt>
                <c:pt idx="4">
                  <c:v>39.9</c:v>
                </c:pt>
                <c:pt idx="5">
                  <c:v>47.4</c:v>
                </c:pt>
                <c:pt idx="6">
                  <c:v>55.1</c:v>
                </c:pt>
                <c:pt idx="7">
                  <c:v>63.3</c:v>
                </c:pt>
                <c:pt idx="8">
                  <c:v>78</c:v>
                </c:pt>
              </c:numCache>
            </c:numRef>
          </c:xVal>
          <c:yVal>
            <c:numRef>
              <c:f>循环泵上热敏电阻!$C$4:$C$12</c:f>
              <c:numCache>
                <c:formatCode>General</c:formatCode>
                <c:ptCount val="9"/>
                <c:pt idx="0">
                  <c:v>17.45</c:v>
                </c:pt>
                <c:pt idx="1">
                  <c:v>13.7</c:v>
                </c:pt>
                <c:pt idx="2">
                  <c:v>11.63</c:v>
                </c:pt>
                <c:pt idx="3">
                  <c:v>7.32</c:v>
                </c:pt>
                <c:pt idx="4">
                  <c:v>6.4</c:v>
                </c:pt>
                <c:pt idx="5">
                  <c:v>5.032</c:v>
                </c:pt>
                <c:pt idx="6">
                  <c:v>3.92</c:v>
                </c:pt>
                <c:pt idx="7">
                  <c:v>2.69</c:v>
                </c:pt>
                <c:pt idx="8">
                  <c:v>1.68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F-4B74-8798-80C74DD298AA}"/>
            </c:ext>
          </c:extLst>
        </c:ser>
        <c:ser>
          <c:idx val="1"/>
          <c:order val="1"/>
          <c:tx>
            <c:strRef>
              <c:f>循环泵上热敏电阻!$F$3</c:f>
              <c:strCache>
                <c:ptCount val="1"/>
                <c:pt idx="0">
                  <c:v>标准阻值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循环泵上热敏电阻!$E$5:$E$12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循环泵上热敏电阻!$F$5:$F$12</c:f>
              <c:numCache>
                <c:formatCode>General</c:formatCode>
                <c:ptCount val="8"/>
                <c:pt idx="0">
                  <c:v>17.963000000000001</c:v>
                </c:pt>
                <c:pt idx="1">
                  <c:v>12.095000000000001</c:v>
                </c:pt>
                <c:pt idx="2">
                  <c:v>8.3130000000000006</c:v>
                </c:pt>
                <c:pt idx="3">
                  <c:v>5.8289999999999997</c:v>
                </c:pt>
                <c:pt idx="4">
                  <c:v>4.1609999999999996</c:v>
                </c:pt>
                <c:pt idx="5">
                  <c:v>3.02</c:v>
                </c:pt>
                <c:pt idx="6">
                  <c:v>2.2280000000000002</c:v>
                </c:pt>
                <c:pt idx="7">
                  <c:v>1.6679999999999999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F-4B74-8798-80C74DD29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729967"/>
        <c:axId val="284214383"/>
      </c:scatterChart>
      <c:valAx>
        <c:axId val="70072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214383"/>
        <c:crosses val="autoZero"/>
        <c:crossBetween val="midCat"/>
      </c:valAx>
      <c:valAx>
        <c:axId val="2842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072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循环泵上热敏电阻!$N$3</c:f>
              <c:strCache>
                <c:ptCount val="1"/>
                <c:pt idx="0">
                  <c:v>误差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循环泵上热敏电阻!$N$4:$N$12</c:f>
              <c:numCache>
                <c:formatCode>General</c:formatCode>
                <c:ptCount val="9"/>
                <c:pt idx="0">
                  <c:v>2.5959176637890113</c:v>
                </c:pt>
                <c:pt idx="1">
                  <c:v>0.40894052590022945</c:v>
                </c:pt>
                <c:pt idx="2">
                  <c:v>-0.32472933586696939</c:v>
                </c:pt>
                <c:pt idx="3">
                  <c:v>-5.5707843310642602E-2</c:v>
                </c:pt>
                <c:pt idx="4">
                  <c:v>0.5558924729810002</c:v>
                </c:pt>
                <c:pt idx="5">
                  <c:v>0.87621759667322863</c:v>
                </c:pt>
                <c:pt idx="6">
                  <c:v>0.37805017756901549</c:v>
                </c:pt>
                <c:pt idx="7">
                  <c:v>-1.286686300396056</c:v>
                </c:pt>
                <c:pt idx="8">
                  <c:v>-4.2157347847600306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A-4579-8EE5-208107BB8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335695"/>
        <c:axId val="532337615"/>
      </c:scatterChart>
      <c:scatterChart>
        <c:scatterStyle val="smoothMarker"/>
        <c:varyColors val="0"/>
        <c:ser>
          <c:idx val="0"/>
          <c:order val="0"/>
          <c:tx>
            <c:strRef>
              <c:f>循环泵上热敏电阻!$O$3</c:f>
              <c:strCache>
                <c:ptCount val="1"/>
                <c:pt idx="0">
                  <c:v>误差比例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循环泵上热敏电阻!$O$4:$O$12</c:f>
              <c:numCache>
                <c:formatCode>0.00%</c:formatCode>
                <c:ptCount val="9"/>
                <c:pt idx="0">
                  <c:v>0</c:v>
                </c:pt>
                <c:pt idx="1">
                  <c:v>4.0894052590022989E-2</c:v>
                </c:pt>
                <c:pt idx="2">
                  <c:v>-1.6236466793348447E-2</c:v>
                </c:pt>
                <c:pt idx="3">
                  <c:v>-1.8569281103547608E-3</c:v>
                </c:pt>
                <c:pt idx="4">
                  <c:v>1.3897311824524916E-2</c:v>
                </c:pt>
                <c:pt idx="5">
                  <c:v>1.7524351933464466E-2</c:v>
                </c:pt>
                <c:pt idx="6">
                  <c:v>6.3008362928169692E-3</c:v>
                </c:pt>
                <c:pt idx="7">
                  <c:v>-1.83812328628008E-2</c:v>
                </c:pt>
                <c:pt idx="8">
                  <c:v>-5.2696684809500405E-2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4-4E13-BC15-5C17DAFD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468015"/>
        <c:axId val="1477861856"/>
      </c:scatterChart>
      <c:valAx>
        <c:axId val="53233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337615"/>
        <c:crosses val="autoZero"/>
        <c:crossBetween val="midCat"/>
      </c:valAx>
      <c:valAx>
        <c:axId val="532337615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335695"/>
        <c:crosses val="autoZero"/>
        <c:crossBetween val="midCat"/>
      </c:valAx>
      <c:valAx>
        <c:axId val="14778618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5468015"/>
        <c:crosses val="max"/>
        <c:crossBetween val="midCat"/>
      </c:valAx>
      <c:valAx>
        <c:axId val="133546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786185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循环泵上热敏电阻!$E$3</c:f>
              <c:strCache>
                <c:ptCount val="1"/>
                <c:pt idx="0">
                  <c:v>温度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D2-4EEC-903B-0C03224D7724}"/>
            </c:ext>
          </c:extLst>
        </c:ser>
        <c:ser>
          <c:idx val="1"/>
          <c:order val="1"/>
          <c:tx>
            <c:strRef>
              <c:f>循环泵上热敏电阻!$M$3</c:f>
              <c:strCache>
                <c:ptCount val="1"/>
                <c:pt idx="0">
                  <c:v>温度计算值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循环泵上热敏电阻!$M$4:$M$12</c:f>
              <c:numCache>
                <c:formatCode>General</c:formatCode>
                <c:ptCount val="9"/>
                <c:pt idx="0">
                  <c:v>2.5959176637890113</c:v>
                </c:pt>
                <c:pt idx="1">
                  <c:v>10.408940525900229</c:v>
                </c:pt>
                <c:pt idx="2">
                  <c:v>19.675270664133031</c:v>
                </c:pt>
                <c:pt idx="3">
                  <c:v>29.944292156689357</c:v>
                </c:pt>
                <c:pt idx="4">
                  <c:v>40.555892472981</c:v>
                </c:pt>
                <c:pt idx="5">
                  <c:v>50.876217596673229</c:v>
                </c:pt>
                <c:pt idx="6">
                  <c:v>60.378050177569015</c:v>
                </c:pt>
                <c:pt idx="7">
                  <c:v>68.713313699603944</c:v>
                </c:pt>
                <c:pt idx="8">
                  <c:v>75.784265215239969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D2-4EEC-903B-0C03224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185967"/>
        <c:axId val="179893359"/>
      </c:scatterChart>
      <c:valAx>
        <c:axId val="70118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893359"/>
        <c:crosses val="autoZero"/>
        <c:crossBetween val="midCat"/>
      </c:valAx>
      <c:valAx>
        <c:axId val="1798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118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循环泵上热敏电阻!$I$3</c:f>
              <c:strCache>
                <c:ptCount val="1"/>
                <c:pt idx="0">
                  <c:v>ADC电压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循环泵上热敏电阻!$I$4:$I$12</c:f>
              <c:numCache>
                <c:formatCode>General</c:formatCode>
                <c:ptCount val="9"/>
                <c:pt idx="0">
                  <c:v>0.51976528721432969</c:v>
                </c:pt>
                <c:pt idx="1">
                  <c:v>0.72974027663356866</c:v>
                </c:pt>
                <c:pt idx="2">
                  <c:v>0.97877289909857512</c:v>
                </c:pt>
                <c:pt idx="3">
                  <c:v>1.2547528517110265</c:v>
                </c:pt>
                <c:pt idx="4">
                  <c:v>1.5399396102113643</c:v>
                </c:pt>
                <c:pt idx="5">
                  <c:v>1.8172983479105929</c:v>
                </c:pt>
                <c:pt idx="6">
                  <c:v>2.0726600985221673</c:v>
                </c:pt>
                <c:pt idx="7">
                  <c:v>2.296670305676856</c:v>
                </c:pt>
                <c:pt idx="8">
                  <c:v>2.4867021276595742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97-4653-98CC-90EEE532E617}"/>
            </c:ext>
          </c:extLst>
        </c:ser>
        <c:ser>
          <c:idx val="1"/>
          <c:order val="1"/>
          <c:tx>
            <c:strRef>
              <c:f>循环泵上热敏电阻!$J$3</c:f>
              <c:strCache>
                <c:ptCount val="1"/>
                <c:pt idx="0">
                  <c:v>电压线性值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循环泵上热敏电阻!$E$4:$E$12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xVal>
          <c:yVal>
            <c:numRef>
              <c:f>循环泵上热敏电阻!$J$4:$J$12</c:f>
              <c:numCache>
                <c:formatCode>General</c:formatCode>
                <c:ptCount val="9"/>
                <c:pt idx="0">
                  <c:v>0.45</c:v>
                </c:pt>
                <c:pt idx="1">
                  <c:v>0.71875</c:v>
                </c:pt>
                <c:pt idx="2">
                  <c:v>0.98750000000000004</c:v>
                </c:pt>
                <c:pt idx="3">
                  <c:v>1.2562499999999999</c:v>
                </c:pt>
                <c:pt idx="4">
                  <c:v>1.5249999999999999</c:v>
                </c:pt>
                <c:pt idx="5">
                  <c:v>1.79375</c:v>
                </c:pt>
                <c:pt idx="6">
                  <c:v>2.0625</c:v>
                </c:pt>
                <c:pt idx="7">
                  <c:v>2.3312499999999998</c:v>
                </c:pt>
                <c:pt idx="8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97-4653-98CC-90EEE532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69120"/>
        <c:axId val="590068640"/>
      </c:scatterChart>
      <c:valAx>
        <c:axId val="59006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68640"/>
        <c:crosses val="autoZero"/>
        <c:crossBetween val="midCat"/>
      </c:valAx>
      <c:valAx>
        <c:axId val="5900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6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将电压拟合成直线后的误差分析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卫生间端热敏电阻!$K$3</c:f>
              <c:strCache>
                <c:ptCount val="1"/>
                <c:pt idx="0">
                  <c:v>误差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卫生间端热敏电阻!$B$4:$B$13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卫生间端热敏电阻!$K$4:$K$13</c:f>
              <c:numCache>
                <c:formatCode>General</c:formatCode>
                <c:ptCount val="10"/>
                <c:pt idx="0">
                  <c:v>3.0810381956250739</c:v>
                </c:pt>
                <c:pt idx="1">
                  <c:v>0.54187253348248632</c:v>
                </c:pt>
                <c:pt idx="2">
                  <c:v>-0.27046513672733852</c:v>
                </c:pt>
                <c:pt idx="3">
                  <c:v>-0.30532212885153598</c:v>
                </c:pt>
                <c:pt idx="4">
                  <c:v>-0.13463664397509589</c:v>
                </c:pt>
                <c:pt idx="5">
                  <c:v>0.25290116046417666</c:v>
                </c:pt>
                <c:pt idx="6">
                  <c:v>-3.7488123002503926E-2</c:v>
                </c:pt>
                <c:pt idx="7">
                  <c:v>-1.3743225933589613</c:v>
                </c:pt>
                <c:pt idx="8">
                  <c:v>-4.1758731193308449</c:v>
                </c:pt>
                <c:pt idx="9">
                  <c:v>-8.414565826330545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23-42AF-A9C9-7AB435B6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099615"/>
        <c:axId val="1583100575"/>
      </c:scatterChart>
      <c:scatterChart>
        <c:scatterStyle val="smoothMarker"/>
        <c:varyColors val="0"/>
        <c:ser>
          <c:idx val="1"/>
          <c:order val="1"/>
          <c:tx>
            <c:strRef>
              <c:f>卫生间端热敏电阻!$L$3</c:f>
              <c:strCache>
                <c:ptCount val="1"/>
                <c:pt idx="0">
                  <c:v>误差比例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卫生间端热敏电阻!$B$4:$B$13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卫生间端热敏电阻!$L$4:$L$13</c:f>
              <c:numCache>
                <c:formatCode>0.00%</c:formatCode>
                <c:ptCount val="10"/>
                <c:pt idx="0">
                  <c:v>0</c:v>
                </c:pt>
                <c:pt idx="1">
                  <c:v>5.4187253348248587E-2</c:v>
                </c:pt>
                <c:pt idx="2">
                  <c:v>-1.3523256836366904E-2</c:v>
                </c:pt>
                <c:pt idx="3">
                  <c:v>-1.2212885154061492E-2</c:v>
                </c:pt>
                <c:pt idx="4">
                  <c:v>-4.487888132503226E-3</c:v>
                </c:pt>
                <c:pt idx="5">
                  <c:v>6.3225290116044608E-3</c:v>
                </c:pt>
                <c:pt idx="6">
                  <c:v>-7.4976246005009628E-4</c:v>
                </c:pt>
                <c:pt idx="7">
                  <c:v>-2.2905376555982682E-2</c:v>
                </c:pt>
                <c:pt idx="8">
                  <c:v>-5.9655330276154883E-2</c:v>
                </c:pt>
                <c:pt idx="9">
                  <c:v>-0.10518207282913183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23-42AF-A9C9-7AB435B6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543071"/>
        <c:axId val="1589541631"/>
      </c:scatterChart>
      <c:valAx>
        <c:axId val="158309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3100575"/>
        <c:crosses val="autoZero"/>
        <c:crossBetween val="midCat"/>
      </c:valAx>
      <c:valAx>
        <c:axId val="1583100575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3099615"/>
        <c:crosses val="autoZero"/>
        <c:crossBetween val="midCat"/>
      </c:valAx>
      <c:valAx>
        <c:axId val="1589541631"/>
        <c:scaling>
          <c:orientation val="minMax"/>
          <c:max val="0.1"/>
          <c:min val="-0.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543071"/>
        <c:crosses val="max"/>
        <c:crossBetween val="midCat"/>
      </c:valAx>
      <c:valAx>
        <c:axId val="158954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954163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选择分压电阻调整</a:t>
            </a:r>
            <a:r>
              <a:rPr lang="en-US" altLang="zh-CN"/>
              <a:t>ADC</a:t>
            </a:r>
            <a:r>
              <a:rPr lang="zh-CN" altLang="en-US"/>
              <a:t>值的线性度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卫生间端热敏电阻!$F$3</c:f>
              <c:strCache>
                <c:ptCount val="1"/>
                <c:pt idx="0">
                  <c:v>ADC电压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卫生间端热敏电阻!$B$4:$B$13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卫生间端热敏电阻!$F$4:$F$13</c:f>
              <c:numCache>
                <c:formatCode>General</c:formatCode>
                <c:ptCount val="10"/>
                <c:pt idx="0">
                  <c:v>0.46820809248554923</c:v>
                </c:pt>
                <c:pt idx="1">
                  <c:v>0.70602218700475428</c:v>
                </c:pt>
                <c:pt idx="2">
                  <c:v>0.99887892376681608</c:v>
                </c:pt>
                <c:pt idx="3">
                  <c:v>1.1571428571428573</c:v>
                </c:pt>
                <c:pt idx="4">
                  <c:v>1.3219584569732938</c:v>
                </c:pt>
                <c:pt idx="5">
                  <c:v>1.6530612244897958</c:v>
                </c:pt>
                <c:pt idx="6">
                  <c:v>1.9625550660792952</c:v>
                </c:pt>
                <c:pt idx="7">
                  <c:v>2.2386934673366832</c:v>
                </c:pt>
                <c:pt idx="8">
                  <c:v>2.4681440443213294</c:v>
                </c:pt>
                <c:pt idx="9">
                  <c:v>2.651785714285714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72-4EE1-AB7C-D79566344212}"/>
            </c:ext>
          </c:extLst>
        </c:ser>
        <c:ser>
          <c:idx val="1"/>
          <c:order val="1"/>
          <c:tx>
            <c:strRef>
              <c:f>卫生间端热敏电阻!$G$3</c:f>
              <c:strCache>
                <c:ptCount val="1"/>
                <c:pt idx="0">
                  <c:v>电压线性值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卫生间端热敏电阻!$B$4:$B$13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卫生间端热敏电阻!$G$4:$G$13</c:f>
              <c:numCache>
                <c:formatCode>General</c:formatCode>
                <c:ptCount val="10"/>
                <c:pt idx="0">
                  <c:v>0.37</c:v>
                </c:pt>
                <c:pt idx="1">
                  <c:v>0.68874999999999997</c:v>
                </c:pt>
                <c:pt idx="2">
                  <c:v>1.0074999999999998</c:v>
                </c:pt>
                <c:pt idx="3">
                  <c:v>1.1668750000000001</c:v>
                </c:pt>
                <c:pt idx="4">
                  <c:v>1.3262499999999999</c:v>
                </c:pt>
                <c:pt idx="5">
                  <c:v>1.645</c:v>
                </c:pt>
                <c:pt idx="6">
                  <c:v>1.9637500000000001</c:v>
                </c:pt>
                <c:pt idx="7">
                  <c:v>2.2825000000000002</c:v>
                </c:pt>
                <c:pt idx="8">
                  <c:v>2.6012500000000003</c:v>
                </c:pt>
                <c:pt idx="9">
                  <c:v>2.92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72-4EE1-AB7C-D79566344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147695"/>
        <c:axId val="1598146255"/>
      </c:scatterChart>
      <c:valAx>
        <c:axId val="159814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146255"/>
        <c:crosses val="autoZero"/>
        <c:crossBetween val="midCat"/>
      </c:valAx>
      <c:valAx>
        <c:axId val="15981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14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13</xdr:row>
      <xdr:rowOff>142875</xdr:rowOff>
    </xdr:from>
    <xdr:to>
      <xdr:col>5</xdr:col>
      <xdr:colOff>622300</xdr:colOff>
      <xdr:row>29</xdr:row>
      <xdr:rowOff>41275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15B05D-E22A-7D6C-55D0-5FF039D13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15</xdr:row>
      <xdr:rowOff>3175</xdr:rowOff>
    </xdr:from>
    <xdr:to>
      <xdr:col>21</xdr:col>
      <xdr:colOff>241300</xdr:colOff>
      <xdr:row>30</xdr:row>
      <xdr:rowOff>79375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5D1EF6-F6EE-A822-F8C1-E419BDE5C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469900</xdr:colOff>
      <xdr:row>1</xdr:row>
      <xdr:rowOff>9525</xdr:rowOff>
    </xdr:from>
    <xdr:to>
      <xdr:col>21</xdr:col>
      <xdr:colOff>234950</xdr:colOff>
      <xdr:row>14</xdr:row>
      <xdr:rowOff>82550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DE821BC-82B9-2212-C566-ACBACC198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120650</xdr:colOff>
      <xdr:row>14</xdr:row>
      <xdr:rowOff>25400</xdr:rowOff>
    </xdr:from>
    <xdr:to>
      <xdr:col>11</xdr:col>
      <xdr:colOff>412750</xdr:colOff>
      <xdr:row>16</xdr:row>
      <xdr:rowOff>31750</xdr:rowOff>
    </xdr:to>
    <xdr:sp macro="" textlink="">
      <xdr:nvSpPr>
        <xdr:cNvPr id="8" name="对话气泡: 矩形 7">
          <a:extLst>
            <a:ext uri="{FF2B5EF4-FFF2-40B4-BE49-F238E27FC236}">
              <a16:creationId xmlns:a16="http://schemas.microsoft.com/office/drawing/2014/main" id="{1C01A612-E19E-2557-D15D-4C0CE6336484}"/>
            </a:ext>
          </a:extLst>
        </xdr:cNvPr>
        <xdr:cNvSpPr/>
      </xdr:nvSpPr>
      <xdr:spPr>
        <a:xfrm>
          <a:off x="7131050" y="2514600"/>
          <a:ext cx="952500" cy="361950"/>
        </a:xfrm>
        <a:prstGeom prst="wedgeRectCallout">
          <a:avLst>
            <a:gd name="adj1" fmla="val 17450"/>
            <a:gd name="adj2" fmla="val -14050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分析结果</a:t>
          </a:r>
        </a:p>
      </xdr:txBody>
    </xdr:sp>
    <xdr:clientData/>
  </xdr:twoCellAnchor>
  <xdr:twoCellAnchor>
    <xdr:from>
      <xdr:col>6</xdr:col>
      <xdr:colOff>6350</xdr:colOff>
      <xdr:row>13</xdr:row>
      <xdr:rowOff>139700</xdr:rowOff>
    </xdr:from>
    <xdr:to>
      <xdr:col>10</xdr:col>
      <xdr:colOff>0</xdr:colOff>
      <xdr:row>29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96D8868-00BE-BA91-8854-998CDBD6B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444500</xdr:colOff>
      <xdr:row>17</xdr:row>
      <xdr:rowOff>146050</xdr:rowOff>
    </xdr:from>
    <xdr:to>
      <xdr:col>14</xdr:col>
      <xdr:colOff>603250</xdr:colOff>
      <xdr:row>29</xdr:row>
      <xdr:rowOff>82550</xdr:rowOff>
    </xdr:to>
    <xdr:sp macro="" textlink="">
      <xdr:nvSpPr>
        <xdr:cNvPr id="5" name="对话气泡: 矩形 4">
          <a:extLst>
            <a:ext uri="{FF2B5EF4-FFF2-40B4-BE49-F238E27FC236}">
              <a16:creationId xmlns:a16="http://schemas.microsoft.com/office/drawing/2014/main" id="{0D65442D-B37E-463A-8EC3-374AB0D1A4AC}"/>
            </a:ext>
          </a:extLst>
        </xdr:cNvPr>
        <xdr:cNvSpPr/>
      </xdr:nvSpPr>
      <xdr:spPr>
        <a:xfrm>
          <a:off x="8064500" y="3168650"/>
          <a:ext cx="1860550" cy="2070100"/>
        </a:xfrm>
        <a:prstGeom prst="wedgeRectCallout">
          <a:avLst>
            <a:gd name="adj1" fmla="val 65948"/>
            <a:gd name="adj2" fmla="val 1988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在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20~60°C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范围：</a:t>
          </a:r>
          <a:endParaRPr lang="en-US" altLang="zh-CN" sz="10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误差值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±1°C</a:t>
          </a:r>
        </a:p>
        <a:p>
          <a:pPr algn="l"/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误差比例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±2%</a:t>
          </a:r>
        </a:p>
        <a:p>
          <a:pPr algn="l"/>
          <a:endParaRPr lang="en-US" altLang="zh-CN" sz="10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10°C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时，只是误差比例大实际误差值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0.4°C</a:t>
          </a:r>
        </a:p>
        <a:p>
          <a:pPr algn="l"/>
          <a:endParaRPr lang="en-US" altLang="zh-CN" sz="10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70°C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时，误差值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-1.3°C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，比例仅</a:t>
          </a:r>
          <a:r>
            <a:rPr lang="en-US" altLang="zh-CN" sz="1000">
              <a:latin typeface="微软雅黑" panose="020B0503020204020204" pitchFamily="34" charset="-122"/>
              <a:ea typeface="微软雅黑" panose="020B0503020204020204" pitchFamily="34" charset="-122"/>
            </a:rPr>
            <a:t>-2%</a:t>
          </a:r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内</a:t>
          </a:r>
        </a:p>
      </xdr:txBody>
    </xdr:sp>
    <xdr:clientData/>
  </xdr:twoCellAnchor>
  <xdr:twoCellAnchor>
    <xdr:from>
      <xdr:col>2</xdr:col>
      <xdr:colOff>12700</xdr:colOff>
      <xdr:row>12</xdr:row>
      <xdr:rowOff>38100</xdr:rowOff>
    </xdr:from>
    <xdr:to>
      <xdr:col>2</xdr:col>
      <xdr:colOff>215900</xdr:colOff>
      <xdr:row>13</xdr:row>
      <xdr:rowOff>133350</xdr:rowOff>
    </xdr:to>
    <xdr:sp macro="" textlink="">
      <xdr:nvSpPr>
        <xdr:cNvPr id="6" name="箭头: 下 5">
          <a:extLst>
            <a:ext uri="{FF2B5EF4-FFF2-40B4-BE49-F238E27FC236}">
              <a16:creationId xmlns:a16="http://schemas.microsoft.com/office/drawing/2014/main" id="{4E50F40A-EFF7-CDA2-BF47-9CD5970654BC}"/>
            </a:ext>
          </a:extLst>
        </xdr:cNvPr>
        <xdr:cNvSpPr/>
      </xdr:nvSpPr>
      <xdr:spPr>
        <a:xfrm>
          <a:off x="895350" y="2171700"/>
          <a:ext cx="203200" cy="2730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241300</xdr:colOff>
      <xdr:row>12</xdr:row>
      <xdr:rowOff>25400</xdr:rowOff>
    </xdr:from>
    <xdr:to>
      <xdr:col>9</xdr:col>
      <xdr:colOff>444500</xdr:colOff>
      <xdr:row>13</xdr:row>
      <xdr:rowOff>120650</xdr:rowOff>
    </xdr:to>
    <xdr:sp macro="" textlink="">
      <xdr:nvSpPr>
        <xdr:cNvPr id="9" name="箭头: 下 8">
          <a:extLst>
            <a:ext uri="{FF2B5EF4-FFF2-40B4-BE49-F238E27FC236}">
              <a16:creationId xmlns:a16="http://schemas.microsoft.com/office/drawing/2014/main" id="{02555308-209B-4281-B7EB-8E94479417F3}"/>
            </a:ext>
          </a:extLst>
        </xdr:cNvPr>
        <xdr:cNvSpPr/>
      </xdr:nvSpPr>
      <xdr:spPr>
        <a:xfrm>
          <a:off x="5664200" y="2159000"/>
          <a:ext cx="203200" cy="2730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15</xdr:row>
      <xdr:rowOff>0</xdr:rowOff>
    </xdr:from>
    <xdr:to>
      <xdr:col>16</xdr:col>
      <xdr:colOff>647700</xdr:colOff>
      <xdr:row>30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8314409-F12A-6C3F-BFB2-6802F4FAD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558800</xdr:colOff>
      <xdr:row>14</xdr:row>
      <xdr:rowOff>165100</xdr:rowOff>
    </xdr:from>
    <xdr:to>
      <xdr:col>8</xdr:col>
      <xdr:colOff>508000</xdr:colOff>
      <xdr:row>30</xdr:row>
      <xdr:rowOff>63500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4F30026-A8EE-8BF9-17D6-6A808B1BD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775F-9ECB-4E8D-B192-8FB51776E646}">
  <dimension ref="B2:O12"/>
  <sheetViews>
    <sheetView topLeftCell="E1" workbookViewId="0">
      <selection activeCell="J5" sqref="J5"/>
    </sheetView>
  </sheetViews>
  <sheetFormatPr defaultRowHeight="14" x14ac:dyDescent="0.3"/>
  <cols>
    <col min="1" max="1" width="2.9140625" customWidth="1"/>
    <col min="4" max="4" width="6.58203125" customWidth="1"/>
    <col min="9" max="9" width="9.6640625" customWidth="1"/>
    <col min="10" max="10" width="11.5" customWidth="1"/>
    <col min="13" max="14" width="11.1640625" customWidth="1"/>
  </cols>
  <sheetData>
    <row r="2" spans="2:15" x14ac:dyDescent="0.3">
      <c r="K2" t="s">
        <v>3</v>
      </c>
      <c r="M2" s="1" t="s">
        <v>6</v>
      </c>
      <c r="N2" s="1"/>
    </row>
    <row r="3" spans="2:15" x14ac:dyDescent="0.3">
      <c r="B3" t="s">
        <v>0</v>
      </c>
      <c r="C3" t="s">
        <v>10</v>
      </c>
      <c r="E3" t="s">
        <v>0</v>
      </c>
      <c r="F3" t="s">
        <v>9</v>
      </c>
      <c r="G3" s="1" t="s">
        <v>2</v>
      </c>
      <c r="H3" t="s">
        <v>13</v>
      </c>
      <c r="I3" t="s">
        <v>1</v>
      </c>
      <c r="J3" t="s">
        <v>11</v>
      </c>
      <c r="K3" s="1" t="s">
        <v>4</v>
      </c>
      <c r="L3" s="1" t="s">
        <v>5</v>
      </c>
      <c r="M3" t="s">
        <v>7</v>
      </c>
      <c r="N3" t="s">
        <v>8</v>
      </c>
      <c r="O3" t="s">
        <v>12</v>
      </c>
    </row>
    <row r="4" spans="2:15" x14ac:dyDescent="0.3">
      <c r="B4">
        <v>11.5</v>
      </c>
      <c r="C4">
        <v>17.45</v>
      </c>
      <c r="E4">
        <v>0</v>
      </c>
      <c r="F4">
        <v>27.28</v>
      </c>
      <c r="G4">
        <v>5.0999999999999996</v>
      </c>
      <c r="H4">
        <v>3.3</v>
      </c>
      <c r="I4">
        <f>H4/(F4+G4)*G4</f>
        <v>0.51976528721432969</v>
      </c>
      <c r="J4">
        <v>0.45</v>
      </c>
      <c r="K4" s="1">
        <f t="shared" ref="K4:K12" si="0">(J$12-J$4)/E$12</f>
        <v>2.6875E-2</v>
      </c>
      <c r="L4" s="1">
        <f>J$4</f>
        <v>0.45</v>
      </c>
      <c r="M4">
        <f t="shared" ref="M4:M12" si="1">(I4-L4)/K4</f>
        <v>2.5959176637890113</v>
      </c>
      <c r="N4">
        <f>M4-E4</f>
        <v>2.5959176637890113</v>
      </c>
      <c r="O4" s="2" t="e">
        <f>M4/E4-1</f>
        <v>#DIV/0!</v>
      </c>
    </row>
    <row r="5" spans="2:15" x14ac:dyDescent="0.3">
      <c r="B5">
        <v>17.100000000000001</v>
      </c>
      <c r="C5">
        <v>13.7</v>
      </c>
      <c r="E5">
        <v>10</v>
      </c>
      <c r="F5">
        <v>17.963000000000001</v>
      </c>
      <c r="G5">
        <v>5.0999999999999996</v>
      </c>
      <c r="H5">
        <v>3.3</v>
      </c>
      <c r="I5">
        <f t="shared" ref="I5:I12" si="2">H5/(F5+G5)*G5</f>
        <v>0.72974027663356866</v>
      </c>
      <c r="J5">
        <f>J$4+(J$12-J$4)/8*(ROW()-4)</f>
        <v>0.71875</v>
      </c>
      <c r="K5" s="1">
        <f t="shared" si="0"/>
        <v>2.6875E-2</v>
      </c>
      <c r="L5" s="1">
        <f t="shared" ref="L5:L12" si="3">J$4</f>
        <v>0.45</v>
      </c>
      <c r="M5">
        <f t="shared" si="1"/>
        <v>10.408940525900229</v>
      </c>
      <c r="N5">
        <f t="shared" ref="N5:N12" si="4">M5-E5</f>
        <v>0.40894052590022945</v>
      </c>
      <c r="O5" s="2">
        <f t="shared" ref="O5:O12" si="5">M5/E5-1</f>
        <v>4.0894052590022989E-2</v>
      </c>
    </row>
    <row r="6" spans="2:15" x14ac:dyDescent="0.3">
      <c r="B6">
        <v>21.1</v>
      </c>
      <c r="C6">
        <v>11.63</v>
      </c>
      <c r="E6">
        <v>20</v>
      </c>
      <c r="F6">
        <v>12.095000000000001</v>
      </c>
      <c r="G6">
        <v>5.0999999999999996</v>
      </c>
      <c r="H6">
        <v>3.3</v>
      </c>
      <c r="I6">
        <f t="shared" si="2"/>
        <v>0.97877289909857512</v>
      </c>
      <c r="J6">
        <f t="shared" ref="J6:J11" si="6">J$4+(J$12-J$4)/8*(ROW()-4)</f>
        <v>0.98750000000000004</v>
      </c>
      <c r="K6" s="1">
        <f t="shared" si="0"/>
        <v>2.6875E-2</v>
      </c>
      <c r="L6" s="1">
        <f t="shared" si="3"/>
        <v>0.45</v>
      </c>
      <c r="M6">
        <f t="shared" si="1"/>
        <v>19.675270664133031</v>
      </c>
      <c r="N6">
        <f t="shared" si="4"/>
        <v>-0.32472933586696939</v>
      </c>
      <c r="O6" s="2">
        <f t="shared" si="5"/>
        <v>-1.6236466793348447E-2</v>
      </c>
    </row>
    <row r="7" spans="2:15" x14ac:dyDescent="0.3">
      <c r="B7">
        <v>34.5</v>
      </c>
      <c r="C7">
        <v>7.32</v>
      </c>
      <c r="E7">
        <v>30</v>
      </c>
      <c r="F7">
        <v>8.3130000000000006</v>
      </c>
      <c r="G7">
        <v>5.0999999999999996</v>
      </c>
      <c r="H7">
        <v>3.3</v>
      </c>
      <c r="I7">
        <f t="shared" si="2"/>
        <v>1.2547528517110265</v>
      </c>
      <c r="J7">
        <f t="shared" si="6"/>
        <v>1.2562499999999999</v>
      </c>
      <c r="K7" s="1">
        <f t="shared" si="0"/>
        <v>2.6875E-2</v>
      </c>
      <c r="L7" s="1">
        <f t="shared" si="3"/>
        <v>0.45</v>
      </c>
      <c r="M7">
        <f t="shared" si="1"/>
        <v>29.944292156689357</v>
      </c>
      <c r="N7">
        <f t="shared" si="4"/>
        <v>-5.5707843310642602E-2</v>
      </c>
      <c r="O7" s="2">
        <f t="shared" si="5"/>
        <v>-1.8569281103547608E-3</v>
      </c>
    </row>
    <row r="8" spans="2:15" x14ac:dyDescent="0.3">
      <c r="B8">
        <v>39.9</v>
      </c>
      <c r="C8">
        <v>6.4</v>
      </c>
      <c r="E8">
        <v>40</v>
      </c>
      <c r="F8">
        <v>5.8289999999999997</v>
      </c>
      <c r="G8">
        <v>5.0999999999999996</v>
      </c>
      <c r="H8">
        <v>3.3</v>
      </c>
      <c r="I8">
        <f t="shared" si="2"/>
        <v>1.5399396102113643</v>
      </c>
      <c r="J8">
        <f t="shared" si="6"/>
        <v>1.5249999999999999</v>
      </c>
      <c r="K8" s="1">
        <f t="shared" si="0"/>
        <v>2.6875E-2</v>
      </c>
      <c r="L8" s="1">
        <f t="shared" si="3"/>
        <v>0.45</v>
      </c>
      <c r="M8">
        <f t="shared" si="1"/>
        <v>40.555892472981</v>
      </c>
      <c r="N8">
        <f t="shared" si="4"/>
        <v>0.5558924729810002</v>
      </c>
      <c r="O8" s="2">
        <f t="shared" si="5"/>
        <v>1.3897311824524916E-2</v>
      </c>
    </row>
    <row r="9" spans="2:15" x14ac:dyDescent="0.3">
      <c r="B9">
        <v>47.4</v>
      </c>
      <c r="C9">
        <v>5.032</v>
      </c>
      <c r="E9">
        <v>50</v>
      </c>
      <c r="F9">
        <v>4.1609999999999996</v>
      </c>
      <c r="G9">
        <v>5.0999999999999996</v>
      </c>
      <c r="H9">
        <v>3.3</v>
      </c>
      <c r="I9">
        <f t="shared" si="2"/>
        <v>1.8172983479105929</v>
      </c>
      <c r="J9">
        <f t="shared" si="6"/>
        <v>1.79375</v>
      </c>
      <c r="K9" s="1">
        <f t="shared" si="0"/>
        <v>2.6875E-2</v>
      </c>
      <c r="L9" s="1">
        <f t="shared" si="3"/>
        <v>0.45</v>
      </c>
      <c r="M9">
        <f t="shared" si="1"/>
        <v>50.876217596673229</v>
      </c>
      <c r="N9">
        <f t="shared" si="4"/>
        <v>0.87621759667322863</v>
      </c>
      <c r="O9" s="2">
        <f t="shared" si="5"/>
        <v>1.7524351933464466E-2</v>
      </c>
    </row>
    <row r="10" spans="2:15" x14ac:dyDescent="0.3">
      <c r="B10">
        <v>55.1</v>
      </c>
      <c r="C10">
        <v>3.92</v>
      </c>
      <c r="E10">
        <v>60</v>
      </c>
      <c r="F10">
        <v>3.02</v>
      </c>
      <c r="G10">
        <v>5.0999999999999996</v>
      </c>
      <c r="H10">
        <v>3.3</v>
      </c>
      <c r="I10">
        <f t="shared" si="2"/>
        <v>2.0726600985221673</v>
      </c>
      <c r="J10">
        <f t="shared" si="6"/>
        <v>2.0625</v>
      </c>
      <c r="K10" s="1">
        <f t="shared" si="0"/>
        <v>2.6875E-2</v>
      </c>
      <c r="L10" s="1">
        <f t="shared" si="3"/>
        <v>0.45</v>
      </c>
      <c r="M10">
        <f t="shared" si="1"/>
        <v>60.378050177569015</v>
      </c>
      <c r="N10">
        <f t="shared" si="4"/>
        <v>0.37805017756901549</v>
      </c>
      <c r="O10" s="2">
        <f t="shared" si="5"/>
        <v>6.3008362928169692E-3</v>
      </c>
    </row>
    <row r="11" spans="2:15" x14ac:dyDescent="0.3">
      <c r="B11">
        <v>63.3</v>
      </c>
      <c r="C11">
        <v>2.69</v>
      </c>
      <c r="E11">
        <v>70</v>
      </c>
      <c r="F11">
        <v>2.2280000000000002</v>
      </c>
      <c r="G11">
        <v>5.0999999999999996</v>
      </c>
      <c r="H11">
        <v>3.3</v>
      </c>
      <c r="I11">
        <f t="shared" si="2"/>
        <v>2.296670305676856</v>
      </c>
      <c r="J11">
        <f t="shared" si="6"/>
        <v>2.3312499999999998</v>
      </c>
      <c r="K11" s="1">
        <f t="shared" si="0"/>
        <v>2.6875E-2</v>
      </c>
      <c r="L11" s="1">
        <f t="shared" si="3"/>
        <v>0.45</v>
      </c>
      <c r="M11">
        <f t="shared" si="1"/>
        <v>68.713313699603944</v>
      </c>
      <c r="N11">
        <f t="shared" si="4"/>
        <v>-1.286686300396056</v>
      </c>
      <c r="O11" s="2">
        <f t="shared" si="5"/>
        <v>-1.83812328628008E-2</v>
      </c>
    </row>
    <row r="12" spans="2:15" x14ac:dyDescent="0.3">
      <c r="B12">
        <v>78</v>
      </c>
      <c r="C12">
        <v>1.68</v>
      </c>
      <c r="E12">
        <v>80</v>
      </c>
      <c r="F12">
        <v>1.6679999999999999</v>
      </c>
      <c r="G12">
        <v>5.0999999999999996</v>
      </c>
      <c r="H12">
        <v>3.3</v>
      </c>
      <c r="I12">
        <f t="shared" si="2"/>
        <v>2.4867021276595742</v>
      </c>
      <c r="J12">
        <v>2.6</v>
      </c>
      <c r="K12" s="1">
        <f t="shared" si="0"/>
        <v>2.6875E-2</v>
      </c>
      <c r="L12" s="1">
        <f t="shared" si="3"/>
        <v>0.45</v>
      </c>
      <c r="M12">
        <f t="shared" si="1"/>
        <v>75.784265215239969</v>
      </c>
      <c r="N12">
        <f t="shared" si="4"/>
        <v>-4.2157347847600306</v>
      </c>
      <c r="O12" s="2">
        <f t="shared" si="5"/>
        <v>-5.2696684809500405E-2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7725-6207-4688-BD08-75F5336C3996}">
  <dimension ref="B2:R14"/>
  <sheetViews>
    <sheetView tabSelected="1" workbookViewId="0">
      <selection activeCell="N8" sqref="N8"/>
    </sheetView>
  </sheetViews>
  <sheetFormatPr defaultRowHeight="14" x14ac:dyDescent="0.3"/>
  <sheetData>
    <row r="2" spans="2:18" x14ac:dyDescent="0.3">
      <c r="H2" t="s">
        <v>3</v>
      </c>
      <c r="J2" s="1" t="s">
        <v>6</v>
      </c>
      <c r="K2" s="1"/>
    </row>
    <row r="3" spans="2:18" x14ac:dyDescent="0.3">
      <c r="B3" t="s">
        <v>0</v>
      </c>
      <c r="C3" t="s">
        <v>9</v>
      </c>
      <c r="D3" t="s">
        <v>14</v>
      </c>
      <c r="E3" t="s">
        <v>13</v>
      </c>
      <c r="F3" t="s">
        <v>1</v>
      </c>
      <c r="G3" t="s">
        <v>11</v>
      </c>
      <c r="H3" s="1" t="s">
        <v>4</v>
      </c>
      <c r="I3" s="1" t="s">
        <v>5</v>
      </c>
      <c r="J3" t="s">
        <v>7</v>
      </c>
      <c r="K3" t="s">
        <v>8</v>
      </c>
      <c r="L3" t="s">
        <v>12</v>
      </c>
      <c r="N3" t="s">
        <v>17</v>
      </c>
      <c r="O3" t="s">
        <v>14</v>
      </c>
      <c r="P3" t="s">
        <v>15</v>
      </c>
      <c r="Q3" t="s">
        <v>16</v>
      </c>
    </row>
    <row r="4" spans="2:18" x14ac:dyDescent="0.25">
      <c r="B4" s="3">
        <v>0</v>
      </c>
      <c r="C4" s="4">
        <v>16.329999999999998</v>
      </c>
      <c r="D4">
        <v>2.7</v>
      </c>
      <c r="E4">
        <v>3.3</v>
      </c>
      <c r="F4">
        <f>E4/(C4+D4)*D4</f>
        <v>0.46820809248554923</v>
      </c>
      <c r="G4">
        <v>0.37</v>
      </c>
      <c r="H4" s="1">
        <f>(G$13-G$4)/B$13</f>
        <v>3.1875000000000001E-2</v>
      </c>
      <c r="I4" s="1">
        <f>G$4</f>
        <v>0.37</v>
      </c>
      <c r="J4">
        <f t="shared" ref="J4:J12" si="0">(F4-I4)/H4</f>
        <v>3.0810381956250739</v>
      </c>
      <c r="K4">
        <f>J4-B4</f>
        <v>3.0810381956250739</v>
      </c>
      <c r="L4" s="2" t="e">
        <f>J4/B4-1</f>
        <v>#DIV/0!</v>
      </c>
      <c r="N4">
        <v>1</v>
      </c>
      <c r="O4">
        <v>2.5</v>
      </c>
      <c r="P4">
        <v>0.32</v>
      </c>
      <c r="Q4">
        <v>2.85</v>
      </c>
      <c r="R4">
        <v>0.3</v>
      </c>
    </row>
    <row r="5" spans="2:18" x14ac:dyDescent="0.25">
      <c r="B5" s="3">
        <v>10</v>
      </c>
      <c r="C5" s="4">
        <v>9.92</v>
      </c>
      <c r="D5">
        <v>2.7</v>
      </c>
      <c r="E5">
        <v>3.3</v>
      </c>
      <c r="F5">
        <f t="shared" ref="F5:F13" si="1">E5/(C5+D5)*D5</f>
        <v>0.70602218700475428</v>
      </c>
      <c r="G5">
        <f>(G$13-G$4)/(B$13-B$4)*(B5-B$4)+G$4</f>
        <v>0.68874999999999997</v>
      </c>
      <c r="H5" s="1">
        <f t="shared" ref="H5:H13" si="2">(G$13-G$4)/B$13</f>
        <v>3.1875000000000001E-2</v>
      </c>
      <c r="I5" s="1">
        <f t="shared" ref="I5:I13" si="3">G$4</f>
        <v>0.37</v>
      </c>
      <c r="J5">
        <f t="shared" ref="J5:J13" si="4">(F5-I5)/H5</f>
        <v>10.541872533482486</v>
      </c>
      <c r="K5">
        <f t="shared" ref="K5:K13" si="5">J5-B5</f>
        <v>0.54187253348248632</v>
      </c>
      <c r="L5" s="2">
        <f t="shared" ref="L5:L13" si="6">J5/B5-1</f>
        <v>5.4187253348248587E-2</v>
      </c>
      <c r="N5">
        <v>2</v>
      </c>
      <c r="O5">
        <v>3</v>
      </c>
      <c r="P5">
        <v>0.45</v>
      </c>
      <c r="Q5">
        <v>3</v>
      </c>
      <c r="R5">
        <v>0.46</v>
      </c>
    </row>
    <row r="6" spans="2:18" x14ac:dyDescent="0.25">
      <c r="B6" s="5">
        <v>20</v>
      </c>
      <c r="C6" s="6">
        <v>6.22</v>
      </c>
      <c r="D6" s="5">
        <v>2.7</v>
      </c>
      <c r="E6" s="5">
        <v>3.3</v>
      </c>
      <c r="F6" s="5">
        <f t="shared" si="1"/>
        <v>0.99887892376681608</v>
      </c>
      <c r="G6" s="5">
        <f t="shared" ref="G6:G12" si="7">(G$13-G$4)/(B$13-B$4)*(B6-B$4)+G$4</f>
        <v>1.0074999999999998</v>
      </c>
      <c r="H6" s="7">
        <f t="shared" si="2"/>
        <v>3.1875000000000001E-2</v>
      </c>
      <c r="I6" s="7">
        <f t="shared" si="3"/>
        <v>0.37</v>
      </c>
      <c r="J6" s="5">
        <f t="shared" si="4"/>
        <v>19.729534863272661</v>
      </c>
      <c r="K6" s="5">
        <f t="shared" si="5"/>
        <v>-0.27046513672733852</v>
      </c>
      <c r="L6" s="8">
        <f t="shared" si="6"/>
        <v>-1.3523256836366904E-2</v>
      </c>
      <c r="N6">
        <v>3</v>
      </c>
      <c r="O6">
        <v>3.3</v>
      </c>
      <c r="P6">
        <v>0.51</v>
      </c>
      <c r="Q6">
        <v>3.1</v>
      </c>
      <c r="R6">
        <v>-0.42</v>
      </c>
    </row>
    <row r="7" spans="2:18" x14ac:dyDescent="0.25">
      <c r="B7" s="6">
        <v>25</v>
      </c>
      <c r="C7" s="6">
        <v>5</v>
      </c>
      <c r="D7" s="5">
        <v>2.7</v>
      </c>
      <c r="E7" s="5">
        <v>3.3</v>
      </c>
      <c r="F7" s="5">
        <f t="shared" si="1"/>
        <v>1.1571428571428573</v>
      </c>
      <c r="G7" s="5">
        <f t="shared" si="7"/>
        <v>1.1668750000000001</v>
      </c>
      <c r="H7" s="7">
        <f t="shared" si="2"/>
        <v>3.1875000000000001E-2</v>
      </c>
      <c r="I7" s="7">
        <f t="shared" si="3"/>
        <v>0.37</v>
      </c>
      <c r="J7" s="5">
        <f t="shared" si="4"/>
        <v>24.694677871148464</v>
      </c>
      <c r="K7" s="5">
        <f t="shared" si="5"/>
        <v>-0.30532212885153598</v>
      </c>
      <c r="L7" s="8">
        <f t="shared" si="6"/>
        <v>-1.2212885154061492E-2</v>
      </c>
      <c r="N7">
        <v>4</v>
      </c>
      <c r="O7">
        <v>2.7</v>
      </c>
      <c r="P7">
        <v>0.37</v>
      </c>
      <c r="Q7">
        <v>2.92</v>
      </c>
      <c r="R7">
        <v>-0.3</v>
      </c>
    </row>
    <row r="8" spans="2:18" x14ac:dyDescent="0.25">
      <c r="B8" s="5">
        <v>30</v>
      </c>
      <c r="C8" s="6">
        <v>4.04</v>
      </c>
      <c r="D8" s="5">
        <v>2.7</v>
      </c>
      <c r="E8" s="5">
        <v>3.3</v>
      </c>
      <c r="F8" s="5">
        <f t="shared" si="1"/>
        <v>1.3219584569732938</v>
      </c>
      <c r="G8" s="5">
        <f t="shared" si="7"/>
        <v>1.3262499999999999</v>
      </c>
      <c r="H8" s="7">
        <f t="shared" si="2"/>
        <v>3.1875000000000001E-2</v>
      </c>
      <c r="I8" s="7">
        <f t="shared" si="3"/>
        <v>0.37</v>
      </c>
      <c r="J8" s="5">
        <f t="shared" si="4"/>
        <v>29.865363356024904</v>
      </c>
      <c r="K8" s="5">
        <f t="shared" si="5"/>
        <v>-0.13463664397509589</v>
      </c>
      <c r="L8" s="8">
        <f t="shared" si="6"/>
        <v>-4.487888132503226E-3</v>
      </c>
    </row>
    <row r="9" spans="2:18" x14ac:dyDescent="0.25">
      <c r="B9" s="5">
        <v>40</v>
      </c>
      <c r="C9" s="6">
        <v>2.69</v>
      </c>
      <c r="D9" s="5">
        <v>2.7</v>
      </c>
      <c r="E9" s="5">
        <v>3.3</v>
      </c>
      <c r="F9" s="5">
        <f t="shared" si="1"/>
        <v>1.6530612244897958</v>
      </c>
      <c r="G9" s="5">
        <f t="shared" si="7"/>
        <v>1.645</v>
      </c>
      <c r="H9" s="7">
        <f t="shared" si="2"/>
        <v>3.1875000000000001E-2</v>
      </c>
      <c r="I9" s="7">
        <f t="shared" si="3"/>
        <v>0.37</v>
      </c>
      <c r="J9" s="5">
        <f t="shared" si="4"/>
        <v>40.252901160464177</v>
      </c>
      <c r="K9" s="5">
        <f t="shared" si="5"/>
        <v>0.25290116046417666</v>
      </c>
      <c r="L9" s="8">
        <f t="shared" si="6"/>
        <v>6.3225290116044608E-3</v>
      </c>
    </row>
    <row r="10" spans="2:18" x14ac:dyDescent="0.25">
      <c r="B10" s="5">
        <v>50</v>
      </c>
      <c r="C10" s="6">
        <v>1.84</v>
      </c>
      <c r="D10" s="5">
        <v>2.7</v>
      </c>
      <c r="E10" s="5">
        <v>3.3</v>
      </c>
      <c r="F10" s="5">
        <f t="shared" si="1"/>
        <v>1.9625550660792952</v>
      </c>
      <c r="G10" s="5">
        <f t="shared" si="7"/>
        <v>1.9637500000000001</v>
      </c>
      <c r="H10" s="7">
        <f t="shared" si="2"/>
        <v>3.1875000000000001E-2</v>
      </c>
      <c r="I10" s="7">
        <f t="shared" si="3"/>
        <v>0.37</v>
      </c>
      <c r="J10" s="5">
        <f t="shared" si="4"/>
        <v>49.962511876997496</v>
      </c>
      <c r="K10" s="5">
        <f t="shared" si="5"/>
        <v>-3.7488123002503926E-2</v>
      </c>
      <c r="L10" s="8">
        <f t="shared" si="6"/>
        <v>-7.4976246005009628E-4</v>
      </c>
    </row>
    <row r="11" spans="2:18" x14ac:dyDescent="0.25">
      <c r="B11" s="3">
        <v>60</v>
      </c>
      <c r="C11" s="4">
        <v>1.28</v>
      </c>
      <c r="D11">
        <v>2.7</v>
      </c>
      <c r="E11">
        <v>3.3</v>
      </c>
      <c r="F11">
        <f t="shared" si="1"/>
        <v>2.2386934673366832</v>
      </c>
      <c r="G11">
        <f t="shared" si="7"/>
        <v>2.2825000000000002</v>
      </c>
      <c r="H11" s="1">
        <f t="shared" si="2"/>
        <v>3.1875000000000001E-2</v>
      </c>
      <c r="I11" s="1">
        <f t="shared" si="3"/>
        <v>0.37</v>
      </c>
      <c r="J11">
        <f t="shared" si="4"/>
        <v>58.625677406641039</v>
      </c>
      <c r="K11">
        <f t="shared" si="5"/>
        <v>-1.3743225933589613</v>
      </c>
      <c r="L11" s="2">
        <f t="shared" si="6"/>
        <v>-2.2905376555982682E-2</v>
      </c>
    </row>
    <row r="12" spans="2:18" x14ac:dyDescent="0.25">
      <c r="B12" s="3">
        <v>70</v>
      </c>
      <c r="C12" s="4">
        <v>0.91</v>
      </c>
      <c r="D12">
        <v>2.7</v>
      </c>
      <c r="E12">
        <v>3.3</v>
      </c>
      <c r="F12">
        <f t="shared" si="1"/>
        <v>2.4681440443213294</v>
      </c>
      <c r="G12">
        <f t="shared" si="7"/>
        <v>2.6012500000000003</v>
      </c>
      <c r="H12" s="1">
        <f t="shared" si="2"/>
        <v>3.1875000000000001E-2</v>
      </c>
      <c r="I12" s="1">
        <f t="shared" si="3"/>
        <v>0.37</v>
      </c>
      <c r="J12">
        <f t="shared" si="4"/>
        <v>65.824126880669155</v>
      </c>
      <c r="K12">
        <f t="shared" si="5"/>
        <v>-4.1758731193308449</v>
      </c>
      <c r="L12" s="2">
        <f t="shared" si="6"/>
        <v>-5.9655330276154883E-2</v>
      </c>
    </row>
    <row r="13" spans="2:18" x14ac:dyDescent="0.25">
      <c r="B13" s="3">
        <v>80</v>
      </c>
      <c r="C13" s="4">
        <v>0.66</v>
      </c>
      <c r="D13">
        <v>2.7</v>
      </c>
      <c r="E13">
        <v>3.3</v>
      </c>
      <c r="F13">
        <f t="shared" si="1"/>
        <v>2.651785714285714</v>
      </c>
      <c r="G13">
        <v>2.92</v>
      </c>
      <c r="H13" s="1">
        <f t="shared" si="2"/>
        <v>3.1875000000000001E-2</v>
      </c>
      <c r="I13" s="1">
        <f t="shared" si="3"/>
        <v>0.37</v>
      </c>
      <c r="J13">
        <f t="shared" si="4"/>
        <v>71.585434173669455</v>
      </c>
      <c r="K13">
        <f t="shared" si="5"/>
        <v>-8.414565826330545</v>
      </c>
      <c r="L13" s="2">
        <f t="shared" si="6"/>
        <v>-0.10518207282913183</v>
      </c>
    </row>
    <row r="14" spans="2:18" x14ac:dyDescent="0.3">
      <c r="B14" s="3"/>
      <c r="C14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循环泵上热敏电阻</vt:lpstr>
      <vt:lpstr>卫生间端热敏电阻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2026-02-23T10:21:34Z</dcterms:created>
  <dcterms:modified xsi:type="dcterms:W3CDTF">2026-04-13T11:22:13Z</dcterms:modified>
</cp:coreProperties>
</file>